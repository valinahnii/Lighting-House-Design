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Rooms" sheetId="3" state="visible" r:id="rId5"/>
    <sheet name="Circuits" sheetId="4" state="visible" r:id="rId6"/>
    <sheet name="Co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Sport room is not listed in Table 1; 400 lx assumed (Study / Office value).</t>
        </r>
      </text>
    </comment>
    <comment ref="J12" authorId="0">
      <text>
        <r>
          <rPr>
            <sz val="10"/>
            <rFont val="Arial"/>
            <family val="2"/>
          </rPr>
          <t xml:space="preserve">Calculated n = 3.0 (minimum). 4 lamps adopted for a symmetrical 2 x 2 layout. Delete this value to use the calculated number.</t>
        </r>
      </text>
    </comment>
  </commentList>
</comments>
</file>

<file path=xl/sharedStrings.xml><?xml version="1.0" encoding="utf-8"?>
<sst xmlns="http://schemas.openxmlformats.org/spreadsheetml/2006/main" count="189" uniqueCount="163">
  <si>
    <t xml:space="preserve">Residential Lighting Estimation – Calculation Workbook</t>
  </si>
  <si>
    <t xml:space="preserve">University of Duhok – Electrical &amp; Computer Engineering – Estimation course (4th year) – Valina Hani</t>
  </si>
  <si>
    <t xml:space="preserve">How to use</t>
  </si>
  <si>
    <t xml:space="preserve">1</t>
  </si>
  <si>
    <t xml:space="preserve">Change values only in BLUE cells (inputs). Black cells are formulas – do not overwrite them.</t>
  </si>
  <si>
    <t xml:space="preserve">2</t>
  </si>
  <si>
    <t xml:space="preserve">Cells with YELLOW fill are assumptions or estimates (prices, cable lengths, quantities): replace them with real values.</t>
  </si>
  <si>
    <t xml:space="preserve">3</t>
  </si>
  <si>
    <t xml:space="preserve">Inputs sheet: ceiling height, lamp data, maintenance factor, voltage, and the utilization-factor row from Table 2.</t>
  </si>
  <si>
    <t xml:space="preserve">4</t>
  </si>
  <si>
    <t xml:space="preserve">Rooms sheet: enter length, width, target lux and circuit for each room. Lamps, power and current are calculated automatically.</t>
  </si>
  <si>
    <t xml:space="preserve">5</t>
  </si>
  <si>
    <t xml:space="preserve">To add a room, insert a row inside the table (above the Total row) and copy the formulas from the row above.</t>
  </si>
  <si>
    <t xml:space="preserve">6</t>
  </si>
  <si>
    <t xml:space="preserve">Circuits sheet: lamps per circuit, MCB, cable capacity and voltage-drop checks. Cost sheet: bill of quantities and total cost.</t>
  </si>
  <si>
    <t xml:space="preserve">Colour code</t>
  </si>
  <si>
    <t xml:space="preserve">Blue text</t>
  </si>
  <si>
    <t xml:space="preserve">Input (hard-coded value)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</si>
  <si>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</si>
  <si>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</si>
  <si>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</si>
  <si>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</si>
  <si>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</si>
  <si>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Assumption / estimate to be verified</t>
  </si>
  <si>
    <t xml:space="preserve">Method</t>
  </si>
  <si>
    <t xml:space="preserve">Room index</t>
  </si>
  <si>
    <t xml:space="preserve">k = (L × W) / (Hm × (L + W)), Hm = ceiling height − work-plane height</t>
  </si>
  <si>
    <t xml:space="preserve">Utilization factor</t>
  </si>
  <si>
    <t xml:space="preserve">UF interpolated linearly from Table 2 (C = 0.7, W = 0.5, F = 0.3); if k &lt; 0.75 the lowest value is used</t>
  </si>
  <si>
    <t xml:space="preserve">Number of lamps</t>
  </si>
  <si>
    <t xml:space="preserve">n = (A × E) / (F × UF × MF), rounded up to a whole number (a manual override is allowed)</t>
  </si>
  <si>
    <t xml:space="preserve">Check</t>
  </si>
  <si>
    <t xml:space="preserve">E achieved = n × F × UF × MF / A must be ≥ target E (the check column shows OK or CHECK)</t>
  </si>
  <si>
    <t xml:space="preserve">Current</t>
  </si>
  <si>
    <t xml:space="preserve">I = P / V (power factor taken as 1)</t>
  </si>
  <si>
    <t xml:space="preserve">Voltage drop</t>
  </si>
  <si>
    <t xml:space="preserve">ΔV = 2 × ρ × L × I / Ac, ρ = 0.0225 Ω·mm²/m (copper at 70 °C), limit 3 % for lighting</t>
  </si>
  <si>
    <t xml:space="preserve">Sources and assumptions</t>
  </si>
  <si>
    <t xml:space="preserve">Lux levels</t>
  </si>
  <si>
    <t xml:space="preserve">Table 1 of the project report. Sport room (400 lx) is not in Table 1 – assumed equal to Study / Office.</t>
  </si>
  <si>
    <t xml:space="preserve">Lamp</t>
  </si>
  <si>
    <t xml:space="preserve">20 W, 2500 lm, MF = 0.8 (project data). Supply 230 V, 50 Hz (assumed).</t>
  </si>
  <si>
    <t xml:space="preserve">Cable capacity</t>
  </si>
  <si>
    <t xml:space="preserve">1.5 mm² copper PVC: lowest value in Table 3 (13 A) used as Iz (conservative).</t>
  </si>
  <si>
    <t xml:space="preserve">Prices, lengths</t>
  </si>
  <si>
    <t xml:space="preserve">Unit prices are assumed market prices in USD; cable / conduit lengths are estimates from the plan (±10 %).</t>
  </si>
  <si>
    <t xml:space="preserve">Inputs</t>
  </si>
  <si>
    <t xml:space="preserve">Blue = input. Source: project data and report tables.</t>
  </si>
  <si>
    <t xml:space="preserve">Parameter</t>
  </si>
  <si>
    <t xml:space="preserve">Value</t>
  </si>
  <si>
    <t xml:space="preserve">Unit</t>
  </si>
  <si>
    <t xml:space="preserve">Note</t>
  </si>
  <si>
    <t xml:space="preserve">Ceiling height</t>
  </si>
  <si>
    <t xml:space="preserve">m</t>
  </si>
  <si>
    <t xml:space="preserve">From the plan</t>
  </si>
  <si>
    <t xml:space="preserve">Work-plane height</t>
  </si>
  <si>
    <t xml:space="preserve">Standard work-plane height</t>
  </si>
  <si>
    <t xml:space="preserve">Mounting height Hm</t>
  </si>
  <si>
    <t xml:space="preserve">Ceiling height − work plane</t>
  </si>
  <si>
    <t xml:space="preserve">Lamp power</t>
  </si>
  <si>
    <t xml:space="preserve">W</t>
  </si>
  <si>
    <t xml:space="preserve">Project data</t>
  </si>
  <si>
    <t xml:space="preserve">Lamp luminous flux F</t>
  </si>
  <si>
    <t xml:space="preserve">lm</t>
  </si>
  <si>
    <t xml:space="preserve">Maintenance factor MF</t>
  </si>
  <si>
    <t xml:space="preserve">Supply voltage V</t>
  </si>
  <si>
    <t xml:space="preserve">V</t>
  </si>
  <si>
    <t xml:space="preserve">Assumed single-phase supply</t>
  </si>
  <si>
    <t xml:space="preserve">Copper resistivity ρ</t>
  </si>
  <si>
    <t xml:space="preserve">Ω·mm²/m</t>
  </si>
  <si>
    <t xml:space="preserve">Copper at 70 °C</t>
  </si>
  <si>
    <t xml:space="preserve">Max voltage drop (lighting)</t>
  </si>
  <si>
    <t xml:space="preserve">3 % limit usually applied to lighting circuits</t>
  </si>
  <si>
    <t xml:space="preserve">Lamp price</t>
  </si>
  <si>
    <t xml:space="preserve">$</t>
  </si>
  <si>
    <t xml:space="preserve">Price used in the original report</t>
  </si>
  <si>
    <t xml:space="preserve">Table 2 – utilization factor row used (C = 0.7, W = 0.5, F = 0.3)</t>
  </si>
  <si>
    <t xml:space="preserve">Room index k</t>
  </si>
  <si>
    <t xml:space="preserve">UF</t>
  </si>
  <si>
    <t xml:space="preserve">Table 1 – recommended illuminance (reference)</t>
  </si>
  <si>
    <t xml:space="preserve">Room</t>
  </si>
  <si>
    <t xml:space="preserve">Min (lx)</t>
  </si>
  <si>
    <t xml:space="preserve">Max (lx)</t>
  </si>
  <si>
    <t xml:space="preserve">Living Room</t>
  </si>
  <si>
    <t xml:space="preserve">Kitchen</t>
  </si>
  <si>
    <t xml:space="preserve">Dining Room</t>
  </si>
  <si>
    <t xml:space="preserve">Bedroom</t>
  </si>
  <si>
    <t xml:space="preserve">Bathroom</t>
  </si>
  <si>
    <t xml:space="preserve">Hallway</t>
  </si>
  <si>
    <t xml:space="preserve">Staircase</t>
  </si>
  <si>
    <t xml:space="preserve">Study / Office</t>
  </si>
  <si>
    <t xml:space="preserve">Storage Room</t>
  </si>
  <si>
    <t xml:space="preserve">Room-by-room lighting calculation (lumen method)</t>
  </si>
  <si>
    <t xml:space="preserve">Enter L, W, target E and circuit in blue cells. Green = linked from Inputs.</t>
  </si>
  <si>
    <t xml:space="preserve">Circuit</t>
  </si>
  <si>
    <t xml:space="preserve">Length L (m)</t>
  </si>
  <si>
    <t xml:space="preserve">Width W (m)</t>
  </si>
  <si>
    <t xml:space="preserve">Target E (lx)</t>
  </si>
  <si>
    <t xml:space="preserve">Area A (m²)</t>
  </si>
  <si>
    <t xml:space="preserve">n calculated</t>
  </si>
  <si>
    <t xml:space="preserve">Manual override (lamps)</t>
  </si>
  <si>
    <t xml:space="preserve">n adopted</t>
  </si>
  <si>
    <t xml:space="preserve">E achieved (lx)</t>
  </si>
  <si>
    <t xml:space="preserve">Power (W)</t>
  </si>
  <si>
    <t xml:space="preserve">Current (A)</t>
  </si>
  <si>
    <t xml:space="preserve">Lamp cost ($)</t>
  </si>
  <si>
    <t xml:space="preserve">Illuminance check</t>
  </si>
  <si>
    <t xml:space="preserve">Bedroom 1</t>
  </si>
  <si>
    <t xml:space="preserve">L1</t>
  </si>
  <si>
    <t xml:space="preserve">Bedroom 2</t>
  </si>
  <si>
    <t xml:space="preserve">Bedroom 3</t>
  </si>
  <si>
    <t xml:space="preserve">Bathroom 1</t>
  </si>
  <si>
    <t xml:space="preserve">L2</t>
  </si>
  <si>
    <t xml:space="preserve">Bathroom 2</t>
  </si>
  <si>
    <t xml:space="preserve">Dressing Room</t>
  </si>
  <si>
    <t xml:space="preserve">Entrance</t>
  </si>
  <si>
    <t xml:space="preserve">Sport Room</t>
  </si>
  <si>
    <t xml:space="preserve">Living Room with Open Kitchen</t>
  </si>
  <si>
    <t xml:space="preserve">L3</t>
  </si>
  <si>
    <t xml:space="preserve">Total</t>
  </si>
  <si>
    <t xml:space="preserve">Notes: dressing room is 2.35 × 2.9 m on the plan (k = 0.59, UF = 0.69, n = 0.99 → 1 lamp), same result as the grouped 2.9 × 2.0 m; for k below 0.75 the lowest tabulated UF (0.69) is used.</t>
  </si>
  <si>
    <t xml:space="preserve">Lighting circuits, protection and voltage drop</t>
  </si>
  <si>
    <t xml:space="preserve">Lamps and power are summed from the Rooms sheet by circuit name.</t>
  </si>
  <si>
    <t xml:space="preserve">Area supplied</t>
  </si>
  <si>
    <t xml:space="preserve">Lamps</t>
  </si>
  <si>
    <t xml:space="preserve">Current Ib (A)</t>
  </si>
  <si>
    <t xml:space="preserve">MCB In (A)</t>
  </si>
  <si>
    <t xml:space="preserve">Cable size Ac (mm²)</t>
  </si>
  <si>
    <t xml:space="preserve">Cable capacity Iz (A)</t>
  </si>
  <si>
    <t xml:space="preserve">Ib ≤ In ≤ Iz</t>
  </si>
  <si>
    <t xml:space="preserve">Longest run (m)</t>
  </si>
  <si>
    <t xml:space="preserve">Voltage drop (V)</t>
  </si>
  <si>
    <t xml:space="preserve">Voltage drop (%)</t>
  </si>
  <si>
    <t xml:space="preserve">Voltage-drop check</t>
  </si>
  <si>
    <t xml:space="preserve">Cable length estimate (m)</t>
  </si>
  <si>
    <t xml:space="preserve">Bedrooms 1, 2 and 3</t>
  </si>
  <si>
    <t xml:space="preserve">Bathrooms 1 and 2, dressing room, entrance, sport room</t>
  </si>
  <si>
    <t xml:space="preserve">Living room with open kitchen</t>
  </si>
  <si>
    <t xml:space="preserve">All lamps assigned to a circuit?</t>
  </si>
  <si>
    <t xml:space="preserve">Iz = 13 A is the lowest value for 1.5 mm² copper in Table 3 (conservative). Longest runs (25 m) and cable lengths (incl. ~10 % waste) are estimates from the plan: measure the wiring polylines in AutoCAD (LIST / LENGTH) and replace the yellow cells.</t>
  </si>
  <si>
    <t xml:space="preserve">Bill of quantities and cost estimate</t>
  </si>
  <si>
    <t xml:space="preserve">Unit prices (yellow) are assumed market prices in USD – replace them with real prices.</t>
  </si>
  <si>
    <t xml:space="preserve">No.</t>
  </si>
  <si>
    <t xml:space="preserve">Item</t>
  </si>
  <si>
    <t xml:space="preserve">Quantity</t>
  </si>
  <si>
    <t xml:space="preserve">Unit price ($)</t>
  </si>
  <si>
    <t xml:space="preserve">Amount ($)</t>
  </si>
  <si>
    <t xml:space="preserve">20 W lamp, 2500 lm</t>
  </si>
  <si>
    <t xml:space="preserve">pcs</t>
  </si>
  <si>
    <t xml:space="preserve">One-way switch (single / double gang)</t>
  </si>
  <si>
    <t xml:space="preserve">Junction box</t>
  </si>
  <si>
    <t xml:space="preserve">Copper PVC cable 1.5 mm²</t>
  </si>
  <si>
    <t xml:space="preserve">PVC conduit 20 mm</t>
  </si>
  <si>
    <t xml:space="preserve">Distribution board, 6-way, with main switch / RCD</t>
  </si>
  <si>
    <t xml:space="preserve">MCB 6 A</t>
  </si>
  <si>
    <t xml:space="preserve">Accessories (clips, saddles, tape)</t>
  </si>
  <si>
    <t xml:space="preserve">lot</t>
  </si>
  <si>
    <t xml:space="preserve">Materials subtotal</t>
  </si>
  <si>
    <t xml:space="preserve">Labour (% of materials)</t>
  </si>
  <si>
    <t xml:space="preserve">Subtotal</t>
  </si>
  <si>
    <t xml:space="preserve">Overhead and profit (% of subtotal)</t>
  </si>
  <si>
    <t xml:space="preserve">TOTAL ESTIMATED COST</t>
  </si>
  <si>
    <t xml:space="preserve">Cable and conduit lengths are estimates (±10 %). Lamp price comes from the original report; all other prices, the labour % and the overhead % are assumptions.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</si>
</sst>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"/>
    <numFmt numFmtId="167" formatCode="#,##0"/>
    <numFmt numFmtId="168" formatCode="0.00"/>
    <numFmt numFmtId="169" formatCode="0.0000"/>
    <numFmt numFmtId="170" formatCode="0.0%"/>
    <numFmt numFmtId="171" formatCode="\$#,##0.00"/>
    <numFmt numFmtId="172" formatCode="0.00%"/>
    <numFmt numFmtId="173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4A6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B4A6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4A6F"/>
        <bgColor rgb="FF333399"/>
      </patternFill>
    </fill>
    <fill>
      <patternFill patternType="solid">
        <fgColor rgb="FFCFE3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DB4C3"/>
      </left>
      <right style="thin">
        <color rgb="FF9DB4C3"/>
      </right>
      <top style="thin">
        <color rgb="FF9DB4C3"/>
      </top>
      <bottom style="thin">
        <color rgb="FF9DB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4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4A6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/>
      <c r="B11" s="5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6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7" t="s">
        <v>20</v>
      </c>
      <c r="B15" s="5" t="s">
        <v>21</v>
      </c>
    </row>
    <row r="16" customFormat="false" ht="15" hidden="false" customHeight="false" outlineLevel="0" collapsed="false">
      <c r="A16" s="8" t="s">
        <v>22</v>
      </c>
      <c r="B16" s="5" t="s">
        <v>23</v>
      </c>
    </row>
    <row r="17" customFormat="false" ht="15" hidden="false" customHeight="false" outlineLevel="0" collapsed="false">
      <c r="A17" s="4"/>
      <c r="B17" s="5"/>
    </row>
    <row r="18" customFormat="false" ht="15" hidden="false" customHeight="false" outlineLevel="0" collapsed="false">
      <c r="A18" s="3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</row>
    <row r="22" customFormat="false" ht="15" hidden="false" customHeight="false" outlineLevel="0" collapsed="false">
      <c r="A22" s="4" t="s">
        <v>31</v>
      </c>
      <c r="B22" s="5" t="s">
        <v>32</v>
      </c>
    </row>
    <row r="23" customFormat="false" ht="15" hidden="false" customHeight="false" outlineLevel="0" collapsed="false">
      <c r="A23" s="4" t="s">
        <v>33</v>
      </c>
      <c r="B23" s="5" t="s">
        <v>34</v>
      </c>
    </row>
    <row r="24" customFormat="false" ht="15" hidden="false" customHeight="false" outlineLevel="0" collapsed="false">
      <c r="A24" s="4" t="s">
        <v>35</v>
      </c>
      <c r="B24" s="5" t="s">
        <v>36</v>
      </c>
    </row>
    <row r="25" customFormat="false" ht="15" hidden="false" customHeight="false" outlineLevel="0" collapsed="false">
      <c r="A25" s="4"/>
      <c r="B25" s="5"/>
    </row>
    <row r="26" customFormat="false" ht="15" hidden="false" customHeight="false" outlineLevel="0" collapsed="false">
      <c r="A26" s="3" t="s">
        <v>37</v>
      </c>
    </row>
    <row r="27" customFormat="false" ht="15" hidden="false" customHeight="false" outlineLevel="0" collapsed="false">
      <c r="A27" s="4" t="s">
        <v>38</v>
      </c>
      <c r="B27" s="5" t="s">
        <v>39</v>
      </c>
    </row>
    <row r="28" customFormat="false" ht="15" hidden="false" customHeight="false" outlineLevel="0" collapsed="false">
      <c r="A28" s="4" t="s">
        <v>40</v>
      </c>
      <c r="B28" s="5" t="s">
        <v>41</v>
      </c>
    </row>
    <row r="29" customFormat="false" ht="15" hidden="false" customHeight="false" outlineLevel="0" collapsed="false">
      <c r="A29" s="4" t="s">
        <v>42</v>
      </c>
      <c r="B29" s="5" t="s">
        <v>43</v>
      </c>
    </row>
    <row r="30" customFormat="false" ht="15" hidden="false" customHeight="false" outlineLevel="0" collapsed="false">
      <c r="A30" s="4" t="s">
        <v>44</v>
      </c>
      <c r="B30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42" hidden="false" customHeight="true" outlineLevel="0" collapsed="false">
      <c r="A3" s="9" t="s">
        <v>48</v>
      </c>
      <c r="B3" s="9" t="s">
        <v>49</v>
      </c>
      <c r="C3" s="9" t="s">
        <v>50</v>
      </c>
      <c r="D3" s="9" t="s">
        <v>51</v>
      </c>
    </row>
    <row r="4" customFormat="false" ht="15" hidden="false" customHeight="false" outlineLevel="0" collapsed="false">
      <c r="A4" s="10" t="s">
        <v>52</v>
      </c>
      <c r="B4" s="11" t="n">
        <v>3</v>
      </c>
      <c r="C4" s="12" t="s">
        <v>53</v>
      </c>
      <c r="D4" s="10" t="s">
        <v>54</v>
      </c>
    </row>
    <row r="5" customFormat="false" ht="15" hidden="false" customHeight="false" outlineLevel="0" collapsed="false">
      <c r="A5" s="10" t="s">
        <v>55</v>
      </c>
      <c r="B5" s="11" t="n">
        <v>0.8</v>
      </c>
      <c r="C5" s="12" t="s">
        <v>53</v>
      </c>
      <c r="D5" s="10" t="s">
        <v>56</v>
      </c>
    </row>
    <row r="6" customFormat="false" ht="15" hidden="false" customHeight="false" outlineLevel="0" collapsed="false">
      <c r="A6" s="10" t="s">
        <v>57</v>
      </c>
      <c r="B6" s="13" t="n">
        <f aca="false">B4-B5</f>
        <v>2.2</v>
      </c>
      <c r="C6" s="12" t="s">
        <v>53</v>
      </c>
      <c r="D6" s="10" t="s">
        <v>58</v>
      </c>
    </row>
    <row r="7" customFormat="false" ht="15" hidden="false" customHeight="false" outlineLevel="0" collapsed="false">
      <c r="A7" s="10" t="s">
        <v>59</v>
      </c>
      <c r="B7" s="14" t="n">
        <v>20</v>
      </c>
      <c r="C7" s="12" t="s">
        <v>60</v>
      </c>
      <c r="D7" s="10" t="s">
        <v>61</v>
      </c>
    </row>
    <row r="8" customFormat="false" ht="15" hidden="false" customHeight="false" outlineLevel="0" collapsed="false">
      <c r="A8" s="10" t="s">
        <v>62</v>
      </c>
      <c r="B8" s="15" t="n">
        <v>2500</v>
      </c>
      <c r="C8" s="12" t="s">
        <v>63</v>
      </c>
      <c r="D8" s="10" t="s">
        <v>61</v>
      </c>
    </row>
    <row r="9" customFormat="false" ht="15" hidden="false" customHeight="false" outlineLevel="0" collapsed="false">
      <c r="A9" s="10" t="s">
        <v>64</v>
      </c>
      <c r="B9" s="16" t="n">
        <v>0.8</v>
      </c>
      <c r="C9" s="12"/>
      <c r="D9" s="10" t="s">
        <v>61</v>
      </c>
    </row>
    <row r="10" customFormat="false" ht="15" hidden="false" customHeight="false" outlineLevel="0" collapsed="false">
      <c r="A10" s="10" t="s">
        <v>65</v>
      </c>
      <c r="B10" s="17" t="n">
        <v>230</v>
      </c>
      <c r="C10" s="12" t="s">
        <v>66</v>
      </c>
      <c r="D10" s="10" t="s">
        <v>67</v>
      </c>
    </row>
    <row r="11" customFormat="false" ht="15" hidden="false" customHeight="false" outlineLevel="0" collapsed="false">
      <c r="A11" s="10" t="s">
        <v>68</v>
      </c>
      <c r="B11" s="18" t="n">
        <v>0.0225</v>
      </c>
      <c r="C11" s="12" t="s">
        <v>69</v>
      </c>
      <c r="D11" s="10" t="s">
        <v>70</v>
      </c>
    </row>
    <row r="12" customFormat="false" ht="15" hidden="false" customHeight="false" outlineLevel="0" collapsed="false">
      <c r="A12" s="10" t="s">
        <v>71</v>
      </c>
      <c r="B12" s="19" t="n">
        <v>0.03</v>
      </c>
      <c r="C12" s="12"/>
      <c r="D12" s="10" t="s">
        <v>72</v>
      </c>
    </row>
    <row r="13" customFormat="false" ht="15" hidden="false" customHeight="false" outlineLevel="0" collapsed="false">
      <c r="A13" s="10" t="s">
        <v>73</v>
      </c>
      <c r="B13" s="20" t="n">
        <v>2</v>
      </c>
      <c r="C13" s="12" t="s">
        <v>74</v>
      </c>
      <c r="D13" s="10" t="s">
        <v>75</v>
      </c>
    </row>
    <row r="16" customFormat="false" ht="23.85" hidden="false" customHeight="false" outlineLevel="0" collapsed="false">
      <c r="A16" s="21" t="s">
        <v>76</v>
      </c>
    </row>
    <row r="17" customFormat="false" ht="15" hidden="false" customHeight="false" outlineLevel="0" collapsed="false">
      <c r="A17" s="9" t="s">
        <v>77</v>
      </c>
      <c r="B17" s="16" t="n">
        <v>0.75</v>
      </c>
      <c r="C17" s="16" t="n">
        <v>1</v>
      </c>
      <c r="D17" s="16" t="n">
        <v>1.25</v>
      </c>
      <c r="E17" s="16" t="n">
        <v>1.5</v>
      </c>
      <c r="F17" s="16" t="n">
        <v>2</v>
      </c>
    </row>
    <row r="18" customFormat="false" ht="15" hidden="false" customHeight="false" outlineLevel="0" collapsed="false">
      <c r="A18" s="9" t="s">
        <v>78</v>
      </c>
      <c r="B18" s="16" t="n">
        <v>0.69</v>
      </c>
      <c r="C18" s="16" t="n">
        <v>0.75</v>
      </c>
      <c r="D18" s="16" t="n">
        <v>0.8</v>
      </c>
      <c r="E18" s="16" t="n">
        <v>0.84</v>
      </c>
      <c r="F18" s="16" t="n">
        <v>0.89</v>
      </c>
    </row>
    <row r="21" customFormat="false" ht="23.85" hidden="false" customHeight="false" outlineLevel="0" collapsed="false">
      <c r="A21" s="21" t="s">
        <v>79</v>
      </c>
    </row>
    <row r="22" customFormat="false" ht="42" hidden="false" customHeight="true" outlineLevel="0" collapsed="false">
      <c r="A22" s="9" t="s">
        <v>80</v>
      </c>
      <c r="B22" s="9" t="s">
        <v>81</v>
      </c>
      <c r="C22" s="9" t="s">
        <v>82</v>
      </c>
    </row>
    <row r="23" customFormat="false" ht="15" hidden="false" customHeight="false" outlineLevel="0" collapsed="false">
      <c r="A23" s="10" t="s">
        <v>83</v>
      </c>
      <c r="B23" s="14" t="n">
        <v>150</v>
      </c>
      <c r="C23" s="14" t="n">
        <v>300</v>
      </c>
    </row>
    <row r="24" customFormat="false" ht="15" hidden="false" customHeight="false" outlineLevel="0" collapsed="false">
      <c r="A24" s="10" t="s">
        <v>84</v>
      </c>
      <c r="B24" s="14" t="n">
        <v>200</v>
      </c>
      <c r="C24" s="14" t="n">
        <v>400</v>
      </c>
    </row>
    <row r="25" customFormat="false" ht="15" hidden="false" customHeight="false" outlineLevel="0" collapsed="false">
      <c r="A25" s="10" t="s">
        <v>85</v>
      </c>
      <c r="B25" s="14" t="n">
        <v>150</v>
      </c>
      <c r="C25" s="14" t="n">
        <v>250</v>
      </c>
    </row>
    <row r="26" customFormat="false" ht="15" hidden="false" customHeight="false" outlineLevel="0" collapsed="false">
      <c r="A26" s="10" t="s">
        <v>86</v>
      </c>
      <c r="B26" s="14" t="n">
        <v>150</v>
      </c>
      <c r="C26" s="14" t="n">
        <v>200</v>
      </c>
    </row>
    <row r="27" customFormat="false" ht="15" hidden="false" customHeight="false" outlineLevel="0" collapsed="false">
      <c r="A27" s="10" t="s">
        <v>87</v>
      </c>
      <c r="B27" s="14" t="n">
        <v>200</v>
      </c>
      <c r="C27" s="14" t="n">
        <v>300</v>
      </c>
    </row>
    <row r="28" customFormat="false" ht="15" hidden="false" customHeight="false" outlineLevel="0" collapsed="false">
      <c r="A28" s="10" t="s">
        <v>88</v>
      </c>
      <c r="B28" s="14" t="n">
        <v>100</v>
      </c>
      <c r="C28" s="14" t="n">
        <v>150</v>
      </c>
    </row>
    <row r="29" customFormat="false" ht="15" hidden="false" customHeight="false" outlineLevel="0" collapsed="false">
      <c r="A29" s="10" t="s">
        <v>89</v>
      </c>
      <c r="B29" s="14" t="n">
        <v>150</v>
      </c>
      <c r="C29" s="14" t="n">
        <v>150</v>
      </c>
    </row>
    <row r="30" customFormat="false" ht="15" hidden="false" customHeight="false" outlineLevel="0" collapsed="false">
      <c r="A30" s="10" t="s">
        <v>90</v>
      </c>
      <c r="B30" s="14" t="n">
        <v>400</v>
      </c>
      <c r="C30" s="14" t="n">
        <v>500</v>
      </c>
    </row>
    <row r="31" customFormat="false" ht="15" hidden="false" customHeight="false" outlineLevel="0" collapsed="false">
      <c r="A31" s="10" t="s">
        <v>91</v>
      </c>
      <c r="B31" s="14" t="n">
        <v>100</v>
      </c>
      <c r="C31" s="14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.5"/>
    <col collapsed="false" customWidth="true" hidden="false" outlineLevel="0" max="10" min="10" style="0" width="16"/>
    <col collapsed="false" customWidth="true" hidden="false" outlineLevel="0" max="15" min="11" style="0" width="12.5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42" hidden="false" customHeight="true" outlineLevel="0" collapsed="false">
      <c r="A4" s="9" t="s">
        <v>80</v>
      </c>
      <c r="B4" s="9" t="s">
        <v>94</v>
      </c>
      <c r="C4" s="9" t="s">
        <v>95</v>
      </c>
      <c r="D4" s="9" t="s">
        <v>96</v>
      </c>
      <c r="E4" s="9" t="s">
        <v>97</v>
      </c>
      <c r="F4" s="9" t="s">
        <v>98</v>
      </c>
      <c r="G4" s="9" t="s">
        <v>77</v>
      </c>
      <c r="H4" s="9" t="s">
        <v>78</v>
      </c>
      <c r="I4" s="9" t="s">
        <v>99</v>
      </c>
      <c r="J4" s="9" t="s">
        <v>100</v>
      </c>
      <c r="K4" s="9" t="s">
        <v>101</v>
      </c>
      <c r="L4" s="9" t="s">
        <v>102</v>
      </c>
      <c r="M4" s="9" t="s">
        <v>103</v>
      </c>
      <c r="N4" s="9" t="s">
        <v>104</v>
      </c>
      <c r="O4" s="9" t="s">
        <v>105</v>
      </c>
      <c r="P4" s="9" t="s">
        <v>106</v>
      </c>
    </row>
    <row r="5" customFormat="false" ht="15" hidden="false" customHeight="false" outlineLevel="0" collapsed="false">
      <c r="A5" s="22" t="s">
        <v>107</v>
      </c>
      <c r="B5" s="23" t="s">
        <v>108</v>
      </c>
      <c r="C5" s="16" t="n">
        <v>4.5</v>
      </c>
      <c r="D5" s="16" t="n">
        <v>3.8</v>
      </c>
      <c r="E5" s="14" t="n">
        <v>150</v>
      </c>
      <c r="F5" s="24" t="n">
        <f aca="false">C5*D5</f>
        <v>17.1</v>
      </c>
      <c r="G5" s="25" t="n">
        <f aca="false">C5*D5/(Inputs!$B$6*(C5+D5))</f>
        <v>0.936473165388828</v>
      </c>
      <c r="H5" s="25" t="n">
        <f aca="false">ROUND(IF(G5&lt;=Inputs!$B$17,Inputs!$B$18,IF(G5&gt;=Inputs!$F$17,Inputs!$F$18,INDEX(Inputs!$B$18:$F$18,MATCH(G5,Inputs!$B$17:$F$17,1))+(INDEX(Inputs!$B$18:$F$18,MATCH(G5,Inputs!$B$17:$F$17,1)+1)-INDEX(Inputs!$B$18:$F$18,MATCH(G5,Inputs!$B$17:$F$17,1)))*(G5-INDEX(Inputs!$B$17:$F$17,MATCH(G5,Inputs!$B$17:$F$17,1)))/(INDEX(Inputs!$B$17:$F$17,MATCH(G5,Inputs!$B$17:$F$17,1)+1)-INDEX(Inputs!$B$17:$F$17,MATCH(G5,Inputs!$B$17:$F$17,1))))),2)</f>
        <v>0.73</v>
      </c>
      <c r="I5" s="25" t="n">
        <f aca="false">F5*E5/(Inputs!$B$8*H5*Inputs!$B$9)</f>
        <v>1.75684931506849</v>
      </c>
      <c r="J5" s="14"/>
      <c r="K5" s="26" t="n">
        <f aca="false">IF(J5&lt;&gt;"",J5,ROUNDUP(ROUND(I5,2),0))</f>
        <v>2</v>
      </c>
      <c r="L5" s="27" t="n">
        <f aca="false">K5*Inputs!$B$8*H5*Inputs!$B$9/F5</f>
        <v>170.760233918129</v>
      </c>
      <c r="M5" s="27" t="n">
        <f aca="false">K5*Inputs!$B$7</f>
        <v>40</v>
      </c>
      <c r="N5" s="25" t="n">
        <f aca="false">M5/Inputs!$B$10</f>
        <v>0.173913043478261</v>
      </c>
      <c r="O5" s="28" t="n">
        <f aca="false">K5*Inputs!$B$13</f>
        <v>4</v>
      </c>
      <c r="P5" s="12" t="str">
        <f aca="false">IF(L5&gt;=E5,"OK","CHECK")</f>
        <v>OK</v>
      </c>
    </row>
    <row r="6" customFormat="false" ht="15" hidden="false" customHeight="false" outlineLevel="0" collapsed="false">
      <c r="A6" s="22" t="s">
        <v>109</v>
      </c>
      <c r="B6" s="23" t="s">
        <v>108</v>
      </c>
      <c r="C6" s="16" t="n">
        <v>4.5</v>
      </c>
      <c r="D6" s="16" t="n">
        <v>3.8</v>
      </c>
      <c r="E6" s="14" t="n">
        <v>150</v>
      </c>
      <c r="F6" s="24" t="n">
        <f aca="false">C6*D6</f>
        <v>17.1</v>
      </c>
      <c r="G6" s="25" t="n">
        <f aca="false">C6*D6/(Inputs!$B$6*(C6+D6))</f>
        <v>0.936473165388828</v>
      </c>
      <c r="H6" s="25" t="n">
        <f aca="false">ROUND(IF(G6&lt;=Inputs!$B$17,Inputs!$B$18,IF(G6&gt;=Inputs!$F$17,Inputs!$F$18,INDEX(Inputs!$B$18:$F$18,MATCH(G6,Inputs!$B$17:$F$17,1))+(INDEX(Inputs!$B$18:$F$18,MATCH(G6,Inputs!$B$17:$F$17,1)+1)-INDEX(Inputs!$B$18:$F$18,MATCH(G6,Inputs!$B$17:$F$17,1)))*(G6-INDEX(Inputs!$B$17:$F$17,MATCH(G6,Inputs!$B$17:$F$17,1)))/(INDEX(Inputs!$B$17:$F$17,MATCH(G6,Inputs!$B$17:$F$17,1)+1)-INDEX(Inputs!$B$17:$F$17,MATCH(G6,Inputs!$B$17:$F$17,1))))),2)</f>
        <v>0.73</v>
      </c>
      <c r="I6" s="25" t="n">
        <f aca="false">F6*E6/(Inputs!$B$8*H6*Inputs!$B$9)</f>
        <v>1.75684931506849</v>
      </c>
      <c r="J6" s="14"/>
      <c r="K6" s="26" t="n">
        <f aca="false">IF(J6&lt;&gt;"",J6,ROUNDUP(ROUND(I6,2),0))</f>
        <v>2</v>
      </c>
      <c r="L6" s="27" t="n">
        <f aca="false">K6*Inputs!$B$8*H6*Inputs!$B$9/F6</f>
        <v>170.760233918129</v>
      </c>
      <c r="M6" s="27" t="n">
        <f aca="false">K6*Inputs!$B$7</f>
        <v>40</v>
      </c>
      <c r="N6" s="25" t="n">
        <f aca="false">M6/Inputs!$B$10</f>
        <v>0.173913043478261</v>
      </c>
      <c r="O6" s="28" t="n">
        <f aca="false">K6*Inputs!$B$13</f>
        <v>4</v>
      </c>
      <c r="P6" s="12" t="str">
        <f aca="false">IF(L6&gt;=E6,"OK","CHECK")</f>
        <v>OK</v>
      </c>
    </row>
    <row r="7" customFormat="false" ht="15" hidden="false" customHeight="false" outlineLevel="0" collapsed="false">
      <c r="A7" s="22" t="s">
        <v>110</v>
      </c>
      <c r="B7" s="23" t="s">
        <v>108</v>
      </c>
      <c r="C7" s="16" t="n">
        <v>4.5</v>
      </c>
      <c r="D7" s="16" t="n">
        <v>3.8</v>
      </c>
      <c r="E7" s="14" t="n">
        <v>150</v>
      </c>
      <c r="F7" s="24" t="n">
        <f aca="false">C7*D7</f>
        <v>17.1</v>
      </c>
      <c r="G7" s="25" t="n">
        <f aca="false">C7*D7/(Inputs!$B$6*(C7+D7))</f>
        <v>0.936473165388828</v>
      </c>
      <c r="H7" s="25" t="n">
        <f aca="false">ROUND(IF(G7&lt;=Inputs!$B$17,Inputs!$B$18,IF(G7&gt;=Inputs!$F$17,Inputs!$F$18,INDEX(Inputs!$B$18:$F$18,MATCH(G7,Inputs!$B$17:$F$17,1))+(INDEX(Inputs!$B$18:$F$18,MATCH(G7,Inputs!$B$17:$F$17,1)+1)-INDEX(Inputs!$B$18:$F$18,MATCH(G7,Inputs!$B$17:$F$17,1)))*(G7-INDEX(Inputs!$B$17:$F$17,MATCH(G7,Inputs!$B$17:$F$17,1)))/(INDEX(Inputs!$B$17:$F$17,MATCH(G7,Inputs!$B$17:$F$17,1)+1)-INDEX(Inputs!$B$17:$F$17,MATCH(G7,Inputs!$B$17:$F$17,1))))),2)</f>
        <v>0.73</v>
      </c>
      <c r="I7" s="25" t="n">
        <f aca="false">F7*E7/(Inputs!$B$8*H7*Inputs!$B$9)</f>
        <v>1.75684931506849</v>
      </c>
      <c r="J7" s="14"/>
      <c r="K7" s="26" t="n">
        <f aca="false">IF(J7&lt;&gt;"",J7,ROUNDUP(ROUND(I7,2),0))</f>
        <v>2</v>
      </c>
      <c r="L7" s="27" t="n">
        <f aca="false">K7*Inputs!$B$8*H7*Inputs!$B$9/F7</f>
        <v>170.760233918129</v>
      </c>
      <c r="M7" s="27" t="n">
        <f aca="false">K7*Inputs!$B$7</f>
        <v>40</v>
      </c>
      <c r="N7" s="25" t="n">
        <f aca="false">M7/Inputs!$B$10</f>
        <v>0.173913043478261</v>
      </c>
      <c r="O7" s="28" t="n">
        <f aca="false">K7*Inputs!$B$13</f>
        <v>4</v>
      </c>
      <c r="P7" s="12" t="str">
        <f aca="false">IF(L7&gt;=E7,"OK","CHECK")</f>
        <v>OK</v>
      </c>
    </row>
    <row r="8" customFormat="false" ht="15" hidden="false" customHeight="false" outlineLevel="0" collapsed="false">
      <c r="A8" s="22" t="s">
        <v>111</v>
      </c>
      <c r="B8" s="23" t="s">
        <v>112</v>
      </c>
      <c r="C8" s="16" t="n">
        <v>2.9</v>
      </c>
      <c r="D8" s="16" t="n">
        <v>2</v>
      </c>
      <c r="E8" s="14" t="n">
        <v>200</v>
      </c>
      <c r="F8" s="24" t="n">
        <f aca="false">C8*D8</f>
        <v>5.8</v>
      </c>
      <c r="G8" s="25" t="n">
        <f aca="false">C8*D8/(Inputs!$B$6*(C8+D8))</f>
        <v>0.538033395176252</v>
      </c>
      <c r="H8" s="25" t="n">
        <f aca="false">ROUND(IF(G8&lt;=Inputs!$B$17,Inputs!$B$18,IF(G8&gt;=Inputs!$F$17,Inputs!$F$18,INDEX(Inputs!$B$18:$F$18,MATCH(G8,Inputs!$B$17:$F$17,1))+(INDEX(Inputs!$B$18:$F$18,MATCH(G8,Inputs!$B$17:$F$17,1)+1)-INDEX(Inputs!$B$18:$F$18,MATCH(G8,Inputs!$B$17:$F$17,1)))*(G8-INDEX(Inputs!$B$17:$F$17,MATCH(G8,Inputs!$B$17:$F$17,1)))/(INDEX(Inputs!$B$17:$F$17,MATCH(G8,Inputs!$B$17:$F$17,1)+1)-INDEX(Inputs!$B$17:$F$17,MATCH(G8,Inputs!$B$17:$F$17,1))))),2)</f>
        <v>0.69</v>
      </c>
      <c r="I8" s="25" t="n">
        <f aca="false">F8*E8/(Inputs!$B$8*H8*Inputs!$B$9)</f>
        <v>0.840579710144928</v>
      </c>
      <c r="J8" s="14"/>
      <c r="K8" s="26" t="n">
        <f aca="false">IF(J8&lt;&gt;"",J8,ROUNDUP(ROUND(I8,2),0))</f>
        <v>1</v>
      </c>
      <c r="L8" s="27" t="n">
        <f aca="false">K8*Inputs!$B$8*H8*Inputs!$B$9/F8</f>
        <v>237.931034482759</v>
      </c>
      <c r="M8" s="27" t="n">
        <f aca="false">K8*Inputs!$B$7</f>
        <v>20</v>
      </c>
      <c r="N8" s="25" t="n">
        <f aca="false">M8/Inputs!$B$10</f>
        <v>0.0869565217391304</v>
      </c>
      <c r="O8" s="28" t="n">
        <f aca="false">K8*Inputs!$B$13</f>
        <v>2</v>
      </c>
      <c r="P8" s="12" t="str">
        <f aca="false">IF(L8&gt;=E8,"OK","CHECK")</f>
        <v>OK</v>
      </c>
    </row>
    <row r="9" customFormat="false" ht="15" hidden="false" customHeight="false" outlineLevel="0" collapsed="false">
      <c r="A9" s="22" t="s">
        <v>113</v>
      </c>
      <c r="B9" s="23" t="s">
        <v>112</v>
      </c>
      <c r="C9" s="16" t="n">
        <v>2.9</v>
      </c>
      <c r="D9" s="16" t="n">
        <v>2</v>
      </c>
      <c r="E9" s="14" t="n">
        <v>200</v>
      </c>
      <c r="F9" s="24" t="n">
        <f aca="false">C9*D9</f>
        <v>5.8</v>
      </c>
      <c r="G9" s="25" t="n">
        <f aca="false">C9*D9/(Inputs!$B$6*(C9+D9))</f>
        <v>0.538033395176252</v>
      </c>
      <c r="H9" s="25" t="n">
        <f aca="false">ROUND(IF(G9&lt;=Inputs!$B$17,Inputs!$B$18,IF(G9&gt;=Inputs!$F$17,Inputs!$F$18,INDEX(Inputs!$B$18:$F$18,MATCH(G9,Inputs!$B$17:$F$17,1))+(INDEX(Inputs!$B$18:$F$18,MATCH(G9,Inputs!$B$17:$F$17,1)+1)-INDEX(Inputs!$B$18:$F$18,MATCH(G9,Inputs!$B$17:$F$17,1)))*(G9-INDEX(Inputs!$B$17:$F$17,MATCH(G9,Inputs!$B$17:$F$17,1)))/(INDEX(Inputs!$B$17:$F$17,MATCH(G9,Inputs!$B$17:$F$17,1)+1)-INDEX(Inputs!$B$17:$F$17,MATCH(G9,Inputs!$B$17:$F$17,1))))),2)</f>
        <v>0.69</v>
      </c>
      <c r="I9" s="25" t="n">
        <f aca="false">F9*E9/(Inputs!$B$8*H9*Inputs!$B$9)</f>
        <v>0.840579710144928</v>
      </c>
      <c r="J9" s="14"/>
      <c r="K9" s="26" t="n">
        <f aca="false">IF(J9&lt;&gt;"",J9,ROUNDUP(ROUND(I9,2),0))</f>
        <v>1</v>
      </c>
      <c r="L9" s="27" t="n">
        <f aca="false">K9*Inputs!$B$8*H9*Inputs!$B$9/F9</f>
        <v>237.931034482759</v>
      </c>
      <c r="M9" s="27" t="n">
        <f aca="false">K9*Inputs!$B$7</f>
        <v>20</v>
      </c>
      <c r="N9" s="25" t="n">
        <f aca="false">M9/Inputs!$B$10</f>
        <v>0.0869565217391304</v>
      </c>
      <c r="O9" s="28" t="n">
        <f aca="false">K9*Inputs!$B$13</f>
        <v>2</v>
      </c>
      <c r="P9" s="12" t="str">
        <f aca="false">IF(L9&gt;=E9,"OK","CHECK")</f>
        <v>OK</v>
      </c>
    </row>
    <row r="10" customFormat="false" ht="15" hidden="false" customHeight="false" outlineLevel="0" collapsed="false">
      <c r="A10" s="22" t="s">
        <v>114</v>
      </c>
      <c r="B10" s="23" t="s">
        <v>112</v>
      </c>
      <c r="C10" s="16" t="n">
        <v>2.9</v>
      </c>
      <c r="D10" s="16" t="n">
        <v>2</v>
      </c>
      <c r="E10" s="14" t="n">
        <v>200</v>
      </c>
      <c r="F10" s="24" t="n">
        <f aca="false">C10*D10</f>
        <v>5.8</v>
      </c>
      <c r="G10" s="25" t="n">
        <f aca="false">C10*D10/(Inputs!$B$6*(C10+D10))</f>
        <v>0.538033395176252</v>
      </c>
      <c r="H10" s="25" t="n">
        <f aca="false">ROUND(IF(G10&lt;=Inputs!$B$17,Inputs!$B$18,IF(G10&gt;=Inputs!$F$17,Inputs!$F$18,INDEX(Inputs!$B$18:$F$18,MATCH(G10,Inputs!$B$17:$F$17,1))+(INDEX(Inputs!$B$18:$F$18,MATCH(G10,Inputs!$B$17:$F$17,1)+1)-INDEX(Inputs!$B$18:$F$18,MATCH(G10,Inputs!$B$17:$F$17,1)))*(G10-INDEX(Inputs!$B$17:$F$17,MATCH(G10,Inputs!$B$17:$F$17,1)))/(INDEX(Inputs!$B$17:$F$17,MATCH(G10,Inputs!$B$17:$F$17,1)+1)-INDEX(Inputs!$B$17:$F$17,MATCH(G10,Inputs!$B$17:$F$17,1))))),2)</f>
        <v>0.69</v>
      </c>
      <c r="I10" s="25" t="n">
        <f aca="false">F10*E10/(Inputs!$B$8*H10*Inputs!$B$9)</f>
        <v>0.840579710144928</v>
      </c>
      <c r="J10" s="14"/>
      <c r="K10" s="26" t="n">
        <f aca="false">IF(J10&lt;&gt;"",J10,ROUNDUP(ROUND(I10,2),0))</f>
        <v>1</v>
      </c>
      <c r="L10" s="27" t="n">
        <f aca="false">K10*Inputs!$B$8*H10*Inputs!$B$9/F10</f>
        <v>237.931034482759</v>
      </c>
      <c r="M10" s="27" t="n">
        <f aca="false">K10*Inputs!$B$7</f>
        <v>20</v>
      </c>
      <c r="N10" s="25" t="n">
        <f aca="false">M10/Inputs!$B$10</f>
        <v>0.0869565217391304</v>
      </c>
      <c r="O10" s="28" t="n">
        <f aca="false">K10*Inputs!$B$13</f>
        <v>2</v>
      </c>
      <c r="P10" s="12" t="str">
        <f aca="false">IF(L10&gt;=E10,"OK","CHECK")</f>
        <v>OK</v>
      </c>
    </row>
    <row r="11" customFormat="false" ht="15" hidden="false" customHeight="false" outlineLevel="0" collapsed="false">
      <c r="A11" s="22" t="s">
        <v>115</v>
      </c>
      <c r="B11" s="23" t="s">
        <v>112</v>
      </c>
      <c r="C11" s="16" t="n">
        <v>2.9</v>
      </c>
      <c r="D11" s="16" t="n">
        <v>2</v>
      </c>
      <c r="E11" s="14" t="n">
        <v>200</v>
      </c>
      <c r="F11" s="24" t="n">
        <f aca="false">C11*D11</f>
        <v>5.8</v>
      </c>
      <c r="G11" s="25" t="n">
        <f aca="false">C11*D11/(Inputs!$B$6*(C11+D11))</f>
        <v>0.538033395176252</v>
      </c>
      <c r="H11" s="25" t="n">
        <f aca="false">ROUND(IF(G11&lt;=Inputs!$B$17,Inputs!$B$18,IF(G11&gt;=Inputs!$F$17,Inputs!$F$18,INDEX(Inputs!$B$18:$F$18,MATCH(G11,Inputs!$B$17:$F$17,1))+(INDEX(Inputs!$B$18:$F$18,MATCH(G11,Inputs!$B$17:$F$17,1)+1)-INDEX(Inputs!$B$18:$F$18,MATCH(G11,Inputs!$B$17:$F$17,1)))*(G11-INDEX(Inputs!$B$17:$F$17,MATCH(G11,Inputs!$B$17:$F$17,1)))/(INDEX(Inputs!$B$17:$F$17,MATCH(G11,Inputs!$B$17:$F$17,1)+1)-INDEX(Inputs!$B$17:$F$17,MATCH(G11,Inputs!$B$17:$F$17,1))))),2)</f>
        <v>0.69</v>
      </c>
      <c r="I11" s="25" t="n">
        <f aca="false">F11*E11/(Inputs!$B$8*H11*Inputs!$B$9)</f>
        <v>0.840579710144928</v>
      </c>
      <c r="J11" s="14"/>
      <c r="K11" s="26" t="n">
        <f aca="false">IF(J11&lt;&gt;"",J11,ROUNDUP(ROUND(I11,2),0))</f>
        <v>1</v>
      </c>
      <c r="L11" s="27" t="n">
        <f aca="false">K11*Inputs!$B$8*H11*Inputs!$B$9/F11</f>
        <v>237.931034482759</v>
      </c>
      <c r="M11" s="27" t="n">
        <f aca="false">K11*Inputs!$B$7</f>
        <v>20</v>
      </c>
      <c r="N11" s="25" t="n">
        <f aca="false">M11/Inputs!$B$10</f>
        <v>0.0869565217391304</v>
      </c>
      <c r="O11" s="28" t="n">
        <f aca="false">K11*Inputs!$B$13</f>
        <v>2</v>
      </c>
      <c r="P11" s="12" t="str">
        <f aca="false">IF(L11&gt;=E11,"OK","CHECK")</f>
        <v>OK</v>
      </c>
    </row>
    <row r="12" customFormat="false" ht="15" hidden="false" customHeight="false" outlineLevel="0" collapsed="false">
      <c r="A12" s="22" t="s">
        <v>116</v>
      </c>
      <c r="B12" s="23" t="s">
        <v>112</v>
      </c>
      <c r="C12" s="16" t="n">
        <v>4.5</v>
      </c>
      <c r="D12" s="16" t="n">
        <v>2.3</v>
      </c>
      <c r="E12" s="17" t="n">
        <v>400</v>
      </c>
      <c r="F12" s="24" t="n">
        <f aca="false">C12*D12</f>
        <v>10.35</v>
      </c>
      <c r="G12" s="25" t="n">
        <f aca="false">C12*D12/(Inputs!$B$6*(C12+D12))</f>
        <v>0.691844919786096</v>
      </c>
      <c r="H12" s="25" t="n">
        <f aca="false">ROUND(IF(G12&lt;=Inputs!$B$17,Inputs!$B$18,IF(G12&gt;=Inputs!$F$17,Inputs!$F$18,INDEX(Inputs!$B$18:$F$18,MATCH(G12,Inputs!$B$17:$F$17,1))+(INDEX(Inputs!$B$18:$F$18,MATCH(G12,Inputs!$B$17:$F$17,1)+1)-INDEX(Inputs!$B$18:$F$18,MATCH(G12,Inputs!$B$17:$F$17,1)))*(G12-INDEX(Inputs!$B$17:$F$17,MATCH(G12,Inputs!$B$17:$F$17,1)))/(INDEX(Inputs!$B$17:$F$17,MATCH(G12,Inputs!$B$17:$F$17,1)+1)-INDEX(Inputs!$B$17:$F$17,MATCH(G12,Inputs!$B$17:$F$17,1))))),2)</f>
        <v>0.69</v>
      </c>
      <c r="I12" s="25" t="n">
        <f aca="false">F12*E12/(Inputs!$B$8*H12*Inputs!$B$9)</f>
        <v>3</v>
      </c>
      <c r="J12" s="17" t="n">
        <v>4</v>
      </c>
      <c r="K12" s="26" t="n">
        <f aca="false">IF(J12&lt;&gt;"",J12,ROUNDUP(ROUND(I12,2),0))</f>
        <v>4</v>
      </c>
      <c r="L12" s="27" t="n">
        <f aca="false">K12*Inputs!$B$8*H12*Inputs!$B$9/F12</f>
        <v>533.333333333333</v>
      </c>
      <c r="M12" s="27" t="n">
        <f aca="false">K12*Inputs!$B$7</f>
        <v>80</v>
      </c>
      <c r="N12" s="25" t="n">
        <f aca="false">M12/Inputs!$B$10</f>
        <v>0.347826086956522</v>
      </c>
      <c r="O12" s="28" t="n">
        <f aca="false">K12*Inputs!$B$13</f>
        <v>8</v>
      </c>
      <c r="P12" s="12" t="str">
        <f aca="false">IF(L12&gt;=E12,"OK","CHECK")</f>
        <v>OK</v>
      </c>
    </row>
    <row r="13" customFormat="false" ht="15" hidden="false" customHeight="false" outlineLevel="0" collapsed="false">
      <c r="A13" s="22" t="s">
        <v>117</v>
      </c>
      <c r="B13" s="23" t="s">
        <v>118</v>
      </c>
      <c r="C13" s="16" t="n">
        <v>9.6</v>
      </c>
      <c r="D13" s="16" t="n">
        <v>5.3</v>
      </c>
      <c r="E13" s="14" t="n">
        <v>300</v>
      </c>
      <c r="F13" s="24" t="n">
        <f aca="false">C13*D13</f>
        <v>50.88</v>
      </c>
      <c r="G13" s="25" t="n">
        <f aca="false">C13*D13/(Inputs!$B$6*(C13+D13))</f>
        <v>1.55216595485052</v>
      </c>
      <c r="H13" s="25" t="n">
        <f aca="false">ROUND(IF(G13&lt;=Inputs!$B$17,Inputs!$B$18,IF(G13&gt;=Inputs!$F$17,Inputs!$F$18,INDEX(Inputs!$B$18:$F$18,MATCH(G13,Inputs!$B$17:$F$17,1))+(INDEX(Inputs!$B$18:$F$18,MATCH(G13,Inputs!$B$17:$F$17,1)+1)-INDEX(Inputs!$B$18:$F$18,MATCH(G13,Inputs!$B$17:$F$17,1)))*(G13-INDEX(Inputs!$B$17:$F$17,MATCH(G13,Inputs!$B$17:$F$17,1)))/(INDEX(Inputs!$B$17:$F$17,MATCH(G13,Inputs!$B$17:$F$17,1)+1)-INDEX(Inputs!$B$17:$F$17,MATCH(G13,Inputs!$B$17:$F$17,1))))),2)</f>
        <v>0.85</v>
      </c>
      <c r="I13" s="25" t="n">
        <f aca="false">F13*E13/(Inputs!$B$8*H13*Inputs!$B$9)</f>
        <v>8.97882352941176</v>
      </c>
      <c r="J13" s="14"/>
      <c r="K13" s="26" t="n">
        <f aca="false">IF(J13&lt;&gt;"",J13,ROUNDUP(ROUND(I13,2),0))</f>
        <v>9</v>
      </c>
      <c r="L13" s="27" t="n">
        <f aca="false">K13*Inputs!$B$8*H13*Inputs!$B$9/F13</f>
        <v>300.707547169811</v>
      </c>
      <c r="M13" s="27" t="n">
        <f aca="false">K13*Inputs!$B$7</f>
        <v>180</v>
      </c>
      <c r="N13" s="25" t="n">
        <f aca="false">M13/Inputs!$B$10</f>
        <v>0.782608695652174</v>
      </c>
      <c r="O13" s="28" t="n">
        <f aca="false">K13*Inputs!$B$13</f>
        <v>18</v>
      </c>
      <c r="P13" s="12" t="str">
        <f aca="false">IF(L13&gt;=E13,"OK","CHECK")</f>
        <v>OK</v>
      </c>
    </row>
    <row r="14" customFormat="false" ht="15" hidden="false" customHeight="false" outlineLevel="0" collapsed="false">
      <c r="A14" s="29" t="s">
        <v>119</v>
      </c>
      <c r="B14" s="30"/>
      <c r="C14" s="30"/>
      <c r="D14" s="30"/>
      <c r="E14" s="30"/>
      <c r="F14" s="30"/>
      <c r="G14" s="30"/>
      <c r="H14" s="30"/>
      <c r="I14" s="30"/>
      <c r="J14" s="30"/>
      <c r="K14" s="31" t="n">
        <f aca="false">SUM(K5:K13)</f>
        <v>23</v>
      </c>
      <c r="L14" s="30"/>
      <c r="M14" s="31" t="n">
        <f aca="false">SUM(M5:M13)</f>
        <v>460</v>
      </c>
      <c r="N14" s="32" t="n">
        <f aca="false">SUM(N5:N13)</f>
        <v>2</v>
      </c>
      <c r="O14" s="33" t="n">
        <f aca="false">SUM(O5:O13)</f>
        <v>46</v>
      </c>
      <c r="P14" s="30"/>
    </row>
    <row r="16" customFormat="false" ht="53.7" hidden="false" customHeight="false" outlineLevel="0" collapsed="false">
      <c r="A16" s="3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14" min="4" style="0" width="13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42" hidden="false" customHeight="true" outlineLevel="0" collapsed="false">
      <c r="A4" s="9" t="s">
        <v>94</v>
      </c>
      <c r="B4" s="9" t="s">
        <v>123</v>
      </c>
      <c r="C4" s="9" t="s">
        <v>124</v>
      </c>
      <c r="D4" s="9" t="s">
        <v>103</v>
      </c>
      <c r="E4" s="9" t="s">
        <v>125</v>
      </c>
      <c r="F4" s="9" t="s">
        <v>126</v>
      </c>
      <c r="G4" s="9" t="s">
        <v>127</v>
      </c>
      <c r="H4" s="9" t="s">
        <v>128</v>
      </c>
      <c r="I4" s="9" t="s">
        <v>129</v>
      </c>
      <c r="J4" s="9" t="s">
        <v>130</v>
      </c>
      <c r="K4" s="9" t="s">
        <v>131</v>
      </c>
      <c r="L4" s="9" t="s">
        <v>132</v>
      </c>
      <c r="M4" s="9" t="s">
        <v>133</v>
      </c>
      <c r="N4" s="9" t="s">
        <v>134</v>
      </c>
    </row>
    <row r="5" customFormat="false" ht="15" hidden="false" customHeight="false" outlineLevel="0" collapsed="false">
      <c r="A5" s="23" t="s">
        <v>108</v>
      </c>
      <c r="B5" s="22" t="s">
        <v>135</v>
      </c>
      <c r="C5" s="27" t="n">
        <f aca="false">SUMIF(Rooms!$B$5:$B$13,A5,Rooms!$K$5:$K$13)</f>
        <v>6</v>
      </c>
      <c r="D5" s="27" t="n">
        <f aca="false">SUMIF(Rooms!$B$5:$B$13,A5,Rooms!$M$5:$M$13)</f>
        <v>120</v>
      </c>
      <c r="E5" s="25" t="n">
        <f aca="false">D5/Inputs!$B$10</f>
        <v>0.521739130434783</v>
      </c>
      <c r="F5" s="14" t="n">
        <v>6</v>
      </c>
      <c r="G5" s="11" t="n">
        <v>1.5</v>
      </c>
      <c r="H5" s="11" t="n">
        <v>13</v>
      </c>
      <c r="I5" s="12" t="str">
        <f aca="false">IF(AND(E5&lt;=F5,F5&lt;=H5),"OK","CHECK")</f>
        <v>OK</v>
      </c>
      <c r="J5" s="17" t="n">
        <v>25</v>
      </c>
      <c r="K5" s="25" t="n">
        <f aca="false">2*Inputs!$B$11*J5*E5/G5</f>
        <v>0.391304347826087</v>
      </c>
      <c r="L5" s="35" t="n">
        <f aca="false">K5/Inputs!$B$10</f>
        <v>0.00170132325141777</v>
      </c>
      <c r="M5" s="36" t="str">
        <f aca="false">IF(L5&lt;=Inputs!$B$12,"OK","CHECK")</f>
        <v>OK</v>
      </c>
      <c r="N5" s="17" t="n">
        <v>45</v>
      </c>
    </row>
    <row r="6" customFormat="false" ht="23.85" hidden="false" customHeight="false" outlineLevel="0" collapsed="false">
      <c r="A6" s="23" t="s">
        <v>112</v>
      </c>
      <c r="B6" s="22" t="s">
        <v>136</v>
      </c>
      <c r="C6" s="27" t="n">
        <f aca="false">SUMIF(Rooms!$B$5:$B$13,A6,Rooms!$K$5:$K$13)</f>
        <v>8</v>
      </c>
      <c r="D6" s="27" t="n">
        <f aca="false">SUMIF(Rooms!$B$5:$B$13,A6,Rooms!$M$5:$M$13)</f>
        <v>160</v>
      </c>
      <c r="E6" s="25" t="n">
        <f aca="false">D6/Inputs!$B$10</f>
        <v>0.695652173913044</v>
      </c>
      <c r="F6" s="14" t="n">
        <v>6</v>
      </c>
      <c r="G6" s="11" t="n">
        <v>1.5</v>
      </c>
      <c r="H6" s="11" t="n">
        <v>13</v>
      </c>
      <c r="I6" s="12" t="str">
        <f aca="false">IF(AND(E6&lt;=F6,F6&lt;=H6),"OK","CHECK")</f>
        <v>OK</v>
      </c>
      <c r="J6" s="17" t="n">
        <v>25</v>
      </c>
      <c r="K6" s="25" t="n">
        <f aca="false">2*Inputs!$B$11*J6*E6/G6</f>
        <v>0.521739130434783</v>
      </c>
      <c r="L6" s="35" t="n">
        <f aca="false">K6/Inputs!$B$10</f>
        <v>0.00226843100189036</v>
      </c>
      <c r="M6" s="36" t="str">
        <f aca="false">IF(L6&lt;=Inputs!$B$12,"OK","CHECK")</f>
        <v>OK</v>
      </c>
      <c r="N6" s="17" t="n">
        <v>55</v>
      </c>
    </row>
    <row r="7" customFormat="false" ht="15" hidden="false" customHeight="false" outlineLevel="0" collapsed="false">
      <c r="A7" s="23" t="s">
        <v>118</v>
      </c>
      <c r="B7" s="22" t="s">
        <v>137</v>
      </c>
      <c r="C7" s="27" t="n">
        <f aca="false">SUMIF(Rooms!$B$5:$B$13,A7,Rooms!$K$5:$K$13)</f>
        <v>9</v>
      </c>
      <c r="D7" s="27" t="n">
        <f aca="false">SUMIF(Rooms!$B$5:$B$13,A7,Rooms!$M$5:$M$13)</f>
        <v>180</v>
      </c>
      <c r="E7" s="25" t="n">
        <f aca="false">D7/Inputs!$B$10</f>
        <v>0.782608695652174</v>
      </c>
      <c r="F7" s="14" t="n">
        <v>6</v>
      </c>
      <c r="G7" s="11" t="n">
        <v>1.5</v>
      </c>
      <c r="H7" s="11" t="n">
        <v>13</v>
      </c>
      <c r="I7" s="12" t="str">
        <f aca="false">IF(AND(E7&lt;=F7,F7&lt;=H7),"OK","CHECK")</f>
        <v>OK</v>
      </c>
      <c r="J7" s="17" t="n">
        <v>25</v>
      </c>
      <c r="K7" s="25" t="n">
        <f aca="false">2*Inputs!$B$11*J7*E7/G7</f>
        <v>0.586956521739131</v>
      </c>
      <c r="L7" s="35" t="n">
        <f aca="false">K7/Inputs!$B$10</f>
        <v>0.00255198487712665</v>
      </c>
      <c r="M7" s="36" t="str">
        <f aca="false">IF(L7&lt;=Inputs!$B$12,"OK","CHECK")</f>
        <v>OK</v>
      </c>
      <c r="N7" s="17" t="n">
        <v>45</v>
      </c>
    </row>
    <row r="8" customFormat="false" ht="15" hidden="false" customHeight="false" outlineLevel="0" collapsed="false">
      <c r="A8" s="37" t="s">
        <v>119</v>
      </c>
      <c r="B8" s="30"/>
      <c r="C8" s="31" t="n">
        <f aca="false">SUM(C5:C7)</f>
        <v>23</v>
      </c>
      <c r="D8" s="31" t="n">
        <f aca="false">SUM(D5:D7)</f>
        <v>460</v>
      </c>
      <c r="E8" s="32" t="n">
        <f aca="false">SUM(E5:E7)</f>
        <v>2</v>
      </c>
      <c r="F8" s="30"/>
      <c r="G8" s="30"/>
      <c r="H8" s="30"/>
      <c r="I8" s="30"/>
      <c r="J8" s="30"/>
      <c r="K8" s="30"/>
      <c r="L8" s="30"/>
      <c r="M8" s="30"/>
      <c r="N8" s="31" t="n">
        <f aca="false">SUM(N5:N7)</f>
        <v>145</v>
      </c>
    </row>
    <row r="10" customFormat="false" ht="35.05" hidden="false" customHeight="false" outlineLevel="0" collapsed="false">
      <c r="A10" s="38" t="s">
        <v>138</v>
      </c>
      <c r="C10" s="36" t="str">
        <f aca="false">IF(C8=Rooms!K14,"OK","CHECK")</f>
        <v>OK</v>
      </c>
    </row>
    <row r="12" customFormat="false" ht="252.2" hidden="false" customHeight="false" outlineLevel="0" collapsed="false">
      <c r="A12" s="3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6" min="3" style="0" width="15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42" hidden="false" customHeight="true" outlineLevel="0" collapsed="false">
      <c r="A4" s="9" t="s">
        <v>142</v>
      </c>
      <c r="B4" s="9" t="s">
        <v>143</v>
      </c>
      <c r="C4" s="9" t="s">
        <v>50</v>
      </c>
      <c r="D4" s="9" t="s">
        <v>144</v>
      </c>
      <c r="E4" s="9" t="s">
        <v>145</v>
      </c>
      <c r="F4" s="9" t="s">
        <v>146</v>
      </c>
    </row>
    <row r="5" customFormat="false" ht="15" hidden="false" customHeight="false" outlineLevel="0" collapsed="false">
      <c r="A5" s="12" t="n">
        <v>1</v>
      </c>
      <c r="B5" s="10" t="s">
        <v>147</v>
      </c>
      <c r="C5" s="12" t="s">
        <v>148</v>
      </c>
      <c r="D5" s="39" t="n">
        <f aca="false">Rooms!K14</f>
        <v>23</v>
      </c>
      <c r="E5" s="28" t="n">
        <f aca="false">Inputs!B13</f>
        <v>2</v>
      </c>
      <c r="F5" s="40" t="n">
        <f aca="false">D5*E5</f>
        <v>46</v>
      </c>
    </row>
    <row r="6" customFormat="false" ht="15" hidden="false" customHeight="false" outlineLevel="0" collapsed="false">
      <c r="A6" s="12" t="n">
        <v>2</v>
      </c>
      <c r="B6" s="10" t="s">
        <v>149</v>
      </c>
      <c r="C6" s="12" t="s">
        <v>148</v>
      </c>
      <c r="D6" s="41" t="n">
        <v>9</v>
      </c>
      <c r="E6" s="20" t="n">
        <v>1.2</v>
      </c>
      <c r="F6" s="40" t="n">
        <f aca="false">D6*E6</f>
        <v>10.8</v>
      </c>
    </row>
    <row r="7" customFormat="false" ht="15" hidden="false" customHeight="false" outlineLevel="0" collapsed="false">
      <c r="A7" s="12" t="n">
        <v>3</v>
      </c>
      <c r="B7" s="10" t="s">
        <v>150</v>
      </c>
      <c r="C7" s="12" t="s">
        <v>148</v>
      </c>
      <c r="D7" s="41" t="n">
        <v>9</v>
      </c>
      <c r="E7" s="20" t="n">
        <v>0.5</v>
      </c>
      <c r="F7" s="40" t="n">
        <f aca="false">D7*E7</f>
        <v>4.5</v>
      </c>
    </row>
    <row r="8" customFormat="false" ht="15" hidden="false" customHeight="false" outlineLevel="0" collapsed="false">
      <c r="A8" s="12" t="n">
        <v>4</v>
      </c>
      <c r="B8" s="10" t="s">
        <v>151</v>
      </c>
      <c r="C8" s="12" t="s">
        <v>53</v>
      </c>
      <c r="D8" s="39" t="n">
        <f aca="false">Circuits!N8</f>
        <v>145</v>
      </c>
      <c r="E8" s="20" t="n">
        <v>0.35</v>
      </c>
      <c r="F8" s="40" t="n">
        <f aca="false">D8*E8</f>
        <v>50.75</v>
      </c>
    </row>
    <row r="9" customFormat="false" ht="15" hidden="false" customHeight="false" outlineLevel="0" collapsed="false">
      <c r="A9" s="12" t="n">
        <v>5</v>
      </c>
      <c r="B9" s="10" t="s">
        <v>152</v>
      </c>
      <c r="C9" s="12" t="s">
        <v>53</v>
      </c>
      <c r="D9" s="41" t="n">
        <v>120</v>
      </c>
      <c r="E9" s="20" t="n">
        <v>0.3</v>
      </c>
      <c r="F9" s="40" t="n">
        <f aca="false">D9*E9</f>
        <v>36</v>
      </c>
    </row>
    <row r="10" customFormat="false" ht="15" hidden="false" customHeight="false" outlineLevel="0" collapsed="false">
      <c r="A10" s="12" t="n">
        <v>6</v>
      </c>
      <c r="B10" s="10" t="s">
        <v>153</v>
      </c>
      <c r="C10" s="12" t="s">
        <v>148</v>
      </c>
      <c r="D10" s="41" t="n">
        <v>1</v>
      </c>
      <c r="E10" s="20" t="n">
        <v>25</v>
      </c>
      <c r="F10" s="40" t="n">
        <f aca="false">D10*E10</f>
        <v>25</v>
      </c>
    </row>
    <row r="11" customFormat="false" ht="15" hidden="false" customHeight="false" outlineLevel="0" collapsed="false">
      <c r="A11" s="12" t="n">
        <v>7</v>
      </c>
      <c r="B11" s="10" t="s">
        <v>154</v>
      </c>
      <c r="C11" s="12" t="s">
        <v>148</v>
      </c>
      <c r="D11" s="39" t="n">
        <f aca="false">COUNTA(Circuits!A5:A7)</f>
        <v>3</v>
      </c>
      <c r="E11" s="20" t="n">
        <v>3</v>
      </c>
      <c r="F11" s="40" t="n">
        <f aca="false">D11*E11</f>
        <v>9</v>
      </c>
    </row>
    <row r="12" customFormat="false" ht="15" hidden="false" customHeight="false" outlineLevel="0" collapsed="false">
      <c r="A12" s="12" t="n">
        <v>8</v>
      </c>
      <c r="B12" s="10" t="s">
        <v>155</v>
      </c>
      <c r="C12" s="12" t="s">
        <v>156</v>
      </c>
      <c r="D12" s="41" t="n">
        <v>1</v>
      </c>
      <c r="E12" s="20" t="n">
        <v>10</v>
      </c>
      <c r="F12" s="40" t="n">
        <f aca="false">D12*E12</f>
        <v>10</v>
      </c>
    </row>
    <row r="13" customFormat="false" ht="15" hidden="false" customHeight="false" outlineLevel="0" collapsed="false">
      <c r="A13" s="42"/>
      <c r="B13" s="29" t="s">
        <v>157</v>
      </c>
      <c r="C13" s="42"/>
      <c r="D13" s="42"/>
      <c r="E13" s="42"/>
      <c r="F13" s="33" t="n">
        <f aca="false">SUM(F5:F12)</f>
        <v>192.05</v>
      </c>
    </row>
    <row r="14" customFormat="false" ht="15" hidden="false" customHeight="false" outlineLevel="0" collapsed="false">
      <c r="A14" s="43"/>
      <c r="B14" s="10" t="s">
        <v>158</v>
      </c>
      <c r="C14" s="43"/>
      <c r="D14" s="43"/>
      <c r="E14" s="44" t="n">
        <v>0.35</v>
      </c>
      <c r="F14" s="40" t="n">
        <f aca="false">F13*E14</f>
        <v>67.2175</v>
      </c>
    </row>
    <row r="15" customFormat="false" ht="15" hidden="false" customHeight="false" outlineLevel="0" collapsed="false">
      <c r="A15" s="42"/>
      <c r="B15" s="29" t="s">
        <v>159</v>
      </c>
      <c r="C15" s="42"/>
      <c r="D15" s="42"/>
      <c r="E15" s="42"/>
      <c r="F15" s="33" t="n">
        <f aca="false">F13+F14</f>
        <v>259.2675</v>
      </c>
    </row>
    <row r="16" customFormat="false" ht="15" hidden="false" customHeight="false" outlineLevel="0" collapsed="false">
      <c r="A16" s="43"/>
      <c r="B16" s="10" t="s">
        <v>160</v>
      </c>
      <c r="C16" s="43"/>
      <c r="D16" s="43"/>
      <c r="E16" s="44" t="n">
        <v>0.1</v>
      </c>
      <c r="F16" s="40" t="n">
        <f aca="false">F15*E16</f>
        <v>25.92675</v>
      </c>
    </row>
    <row r="17" customFormat="false" ht="15" hidden="false" customHeight="false" outlineLevel="0" collapsed="false">
      <c r="A17" s="42"/>
      <c r="B17" s="29" t="s">
        <v>161</v>
      </c>
      <c r="C17" s="42"/>
      <c r="D17" s="42"/>
      <c r="E17" s="42"/>
      <c r="F17" s="33" t="n">
        <f aca="false">F15+F16</f>
        <v>285.19425</v>
      </c>
    </row>
    <row r="19" customFormat="false" ht="32.8" hidden="false" customHeight="false" outlineLevel="0" collapsed="false">
      <c r="B19" s="34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2026-10-29T11:28:02Z</dcterms:created>
  <dc:creator>openpyxl</dc:creator>
  <dc:description/>
  <dc:language>en-US</dc:language>
  <cp:lastModifiedBy/>
  <dcterms:modified xsi:type="dcterms:W3CDTF">2026-10-29T11:28:02Z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